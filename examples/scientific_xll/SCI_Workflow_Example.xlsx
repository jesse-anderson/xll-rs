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e\Documents\GitHub\linreg-core\xll-rs\examples\scientific_xll\"/>
    </mc:Choice>
  </mc:AlternateContent>
  <xr:revisionPtr revIDLastSave="0" documentId="13_ncr:1_{C7C7917A-3100-462F-9F0B-B9601BB05997}" xr6:coauthVersionLast="47" xr6:coauthVersionMax="47" xr10:uidLastSave="{00000000-0000-0000-0000-000000000000}"/>
  <bookViews>
    <workbookView xWindow="-15045" yWindow="3150" windowWidth="12150" windowHeight="15885" activeTab="1" xr2:uid="{B2D623C3-252A-460D-9705-34C0DA524BDD}"/>
  </bookViews>
  <sheets>
    <sheet name="Basic" sheetId="1" r:id="rId1"/>
    <sheet name="Ad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 a="1"/>
  <c r="B3" i="2" s="1"/>
  <c r="B9" i="2" a="1"/>
  <c r="B9" i="2" s="1"/>
  <c r="B24" i="2" a="1"/>
  <c r="B24" i="2" s="1"/>
  <c r="B8" i="2" a="1"/>
  <c r="B8" i="2" s="1"/>
  <c r="B7" i="2" a="1"/>
  <c r="B7" i="2" s="1"/>
  <c r="B6" i="2" a="1"/>
  <c r="B6" i="2" s="1"/>
  <c r="B5" i="2" a="1"/>
  <c r="B5" i="2" s="1"/>
  <c r="B4" i="2" a="1"/>
  <c r="B4" i="2" s="1"/>
  <c r="F30" i="1" a="1"/>
  <c r="F30" i="1" s="1"/>
  <c r="F23" i="1"/>
  <c r="F22" i="1"/>
  <c r="F21" i="1"/>
  <c r="F20" i="1"/>
  <c r="F19" i="1"/>
  <c r="F18" i="1"/>
  <c r="F17" i="1"/>
  <c r="F15" i="1"/>
  <c r="F14" i="1"/>
  <c r="F16" i="1"/>
  <c r="F12" i="1"/>
  <c r="F11" i="1"/>
  <c r="F10" i="1"/>
  <c r="B30" i="1" a="1"/>
  <c r="B30" i="1" s="1"/>
  <c r="B24" i="1" a="1"/>
  <c r="B24" i="1" s="1"/>
  <c r="B20" i="1" a="1"/>
  <c r="B20" i="1" s="1"/>
  <c r="B19" i="1" a="1"/>
  <c r="B19" i="1" s="1"/>
  <c r="B15" i="1" a="1"/>
  <c r="B15" i="1" s="1"/>
  <c r="B14" i="1" a="1"/>
  <c r="B14" i="1" s="1"/>
  <c r="B13" i="1" a="1"/>
  <c r="B13" i="1" s="1"/>
  <c r="B12" i="1" a="1"/>
  <c r="B12" i="1" s="1"/>
  <c r="B11" i="1" a="1"/>
  <c r="B11" i="1" s="1"/>
  <c r="B10" i="1" a="1"/>
  <c r="B10" i="1" s="1"/>
  <c r="B9" i="1" a="1"/>
  <c r="B9" i="1" s="1"/>
  <c r="B8" i="1" a="1"/>
  <c r="B8" i="1" s="1"/>
  <c r="B32" i="2" a="1"/>
  <c r="B26" i="2" a="1"/>
  <c r="B32" i="2" l="1"/>
  <c r="B2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<sst xmlns="http://schemas.openxmlformats.org/spreadsheetml/2006/main" count="36" uniqueCount="36">
  <si>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>y</t>
  </si>
  <si>
    <t>x</t>
  </si>
  <si>
    <t>x2</t>
  </si>
  <si>
    <t>M1</t>
  </si>
  <si>
    <t>M2</t>
  </si>
  <si>
    <t>M3</t>
  </si>
  <si>
    <t>SCI.VERSION()</t>
  </si>
  <si>
    <t>SCI.HELLO()</t>
  </si>
  <si>
    <t>SCI.ADD(2,3)</t>
  </si>
  <si>
    <t>SCI.NOT(TRUE)</t>
  </si>
  <si>
    <t>SCI.NOT(FALSE)</t>
  </si>
  <si>
    <t>SCI.ECHO("ABC")</t>
  </si>
  <si>
    <t>SCI.MEAN(A2:A6)</t>
  </si>
  <si>
    <t>SCI.DESCRIBE(A2:A6)</t>
  </si>
  <si>
    <t>SCI.CORR(B2:B6,C2:C6)</t>
  </si>
  <si>
    <t>SCI.COLSUM(E2:G4)</t>
  </si>
  <si>
    <t>SCI.SCALE(A2:A6,2,TRUE)</t>
  </si>
  <si>
    <t>SCI.OLS(A2:A6,B2:B6)</t>
  </si>
  <si>
    <t>Term</t>
  </si>
  <si>
    <t>Coef</t>
  </si>
  <si>
    <t>StdErr</t>
  </si>
  <si>
    <t>Intercept</t>
  </si>
  <si>
    <t>X1</t>
  </si>
  <si>
    <t>EXCEL NATIVE</t>
  </si>
  <si>
    <t>SCI EXAMPLE</t>
  </si>
  <si>
    <t>SCI.NIL()</t>
  </si>
  <si>
    <t xml:space="preserve"> SCI.ERROR(36)</t>
  </si>
  <si>
    <t>SCI.TOINT(3.9)</t>
  </si>
  <si>
    <t>SCI.TOINT(-3.9)</t>
  </si>
  <si>
    <t>SCI.THRESH(5,5,FALSE)</t>
  </si>
  <si>
    <t>SCI.THRESH(5,5,TRUE)</t>
  </si>
  <si>
    <t xml:space="preserve">SCI.TYPES() </t>
  </si>
  <si>
    <t>SCI.DIMS(Basic!E2:G4)</t>
  </si>
  <si>
    <t>SCI.REFINFO(Basic!A2:B4)</t>
  </si>
  <si>
    <t>SCI.REFVALUES(Basic!A2:C6)</t>
  </si>
  <si>
    <t>Advanced commands.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</si>
</sst>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240D-F329-431A-A4AE-F432B7A72D71}">
  <dimension ref="A1:H44"/>
  <sheetViews>
    <sheetView workbookViewId="0">
      <selection activeCell="A2" sqref="A2:B4"/>
    </sheetView>
  </sheetViews>
  <sheetFormatPr defaultRowHeight="15" x14ac:dyDescent="0.25"/>
  <cols>
    <col min="1" max="1" width="22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5</v>
      </c>
      <c r="B2">
        <v>1</v>
      </c>
      <c r="C2">
        <v>2</v>
      </c>
      <c r="E2">
        <v>1</v>
      </c>
      <c r="F2">
        <v>2</v>
      </c>
      <c r="G2">
        <v>3</v>
      </c>
    </row>
    <row r="3" spans="1:7" x14ac:dyDescent="0.25">
      <c r="A3">
        <v>9</v>
      </c>
      <c r="B3">
        <v>2</v>
      </c>
      <c r="C3">
        <v>4</v>
      </c>
      <c r="E3">
        <v>4</v>
      </c>
      <c r="F3">
        <v>5</v>
      </c>
      <c r="G3">
        <v>6</v>
      </c>
    </row>
    <row r="4" spans="1:7" x14ac:dyDescent="0.25">
      <c r="A4">
        <v>10</v>
      </c>
      <c r="B4">
        <v>3</v>
      </c>
      <c r="C4">
        <v>6</v>
      </c>
      <c r="E4">
        <v>7</v>
      </c>
      <c r="F4">
        <v>8</v>
      </c>
      <c r="G4">
        <v>9</v>
      </c>
    </row>
    <row r="5" spans="1:7" x14ac:dyDescent="0.25">
      <c r="A5">
        <v>14</v>
      </c>
      <c r="B5">
        <v>4</v>
      </c>
      <c r="C5">
        <v>8</v>
      </c>
    </row>
    <row r="6" spans="1:7" x14ac:dyDescent="0.25">
      <c r="A6">
        <v>17</v>
      </c>
      <c r="B6">
        <v>5</v>
      </c>
      <c r="C6">
        <v>10</v>
      </c>
    </row>
    <row r="7" spans="1:7" x14ac:dyDescent="0.25">
      <c r="A7" t="s">
        <v>24</v>
      </c>
      <c r="F7" t="s">
        <v>23</v>
      </c>
    </row>
    <row r="8" spans="1:7" x14ac:dyDescent="0.25">
      <c r="A8" t="s">
        <v>6</v>
      </c>
      <c r="B8" t="str" cm="1">
        <f t="array" ref="B8">_xll.SCI.VERSION()</f>
        <v>0.1.0</v>
      </c>
    </row>
    <row r="9" spans="1:7" x14ac:dyDescent="0.25">
      <c r="A9" t="s">
        <v>7</v>
      </c>
      <c r="B9" t="str" cm="1">
        <f t="array" ref="B9">_xll.SCI.HELLO()</f>
        <v>Hello from xll-rs</v>
      </c>
    </row>
    <row r="10" spans="1:7" x14ac:dyDescent="0.25">
      <c r="A10" t="s">
        <v>8</v>
      </c>
      <c r="B10" cm="1">
        <f t="array" ref="B10">_xll.SCI.ADD(2,3)</f>
        <v>5</v>
      </c>
      <c r="F10">
        <f>SUM(2,3)</f>
        <v>5</v>
      </c>
    </row>
    <row r="11" spans="1:7" x14ac:dyDescent="0.25">
      <c r="A11" t="s">
        <v>9</v>
      </c>
      <c r="B11" t="b" cm="1">
        <f t="array" ref="B11">_xll.SCI.NOT(TRUE)</f>
        <v>0</v>
      </c>
      <c r="F11" t="b">
        <f>NOT(TRUE())</f>
        <v>0</v>
      </c>
    </row>
    <row r="12" spans="1:7" x14ac:dyDescent="0.25">
      <c r="A12" t="s">
        <v>10</v>
      </c>
      <c r="B12" t="b" cm="1">
        <f t="array" ref="B12">_xll.SCI.NOT(FALSE)</f>
        <v>1</v>
      </c>
      <c r="F12" t="b">
        <f>NOT(FALSE)</f>
        <v>1</v>
      </c>
    </row>
    <row r="13" spans="1:7" x14ac:dyDescent="0.25">
      <c r="A13" t="s">
        <v>11</v>
      </c>
      <c r="B13" t="str" cm="1">
        <f t="array" ref="B13">_xll.SCI.ECHO("ABC")</f>
        <v>ABC</v>
      </c>
    </row>
    <row r="14" spans="1:7" x14ac:dyDescent="0.25">
      <c r="A14" t="s">
        <v>12</v>
      </c>
      <c r="B14" cm="1">
        <f t="array" ref="B14">_xll.SCI.MEAN(A2:A6)</f>
        <v>11</v>
      </c>
      <c r="F14">
        <f>AVERAGE(A2:A6)</f>
        <v>11</v>
      </c>
    </row>
    <row r="15" spans="1:7" x14ac:dyDescent="0.25">
      <c r="A15" t="s">
        <v>13</v>
      </c>
      <c r="B15" t="str" cm="1">
        <f t="array" ref="B15:C18">_xll.SCI.DESCRIBE(A2:A6)</f>
        <v>Mean</v>
      </c>
      <c r="C15">
        <v>11</v>
      </c>
      <c r="F15">
        <f>AVERAGE(A2:A6)</f>
        <v>11</v>
      </c>
    </row>
    <row r="16" spans="1:7" x14ac:dyDescent="0.25">
      <c r="B16" t="str">
        <v>Std Dev</v>
      </c>
      <c r="C16">
        <v>4.636809247747852</v>
      </c>
      <c r="F16">
        <f>_xlfn.STDEV.S(A2:A6)</f>
        <v>4.636809247747852</v>
      </c>
    </row>
    <row r="17" spans="1:7" x14ac:dyDescent="0.25">
      <c r="B17" t="str">
        <v>Min</v>
      </c>
      <c r="C17">
        <v>5</v>
      </c>
      <c r="F17">
        <f>MIN(A2:A6)</f>
        <v>5</v>
      </c>
    </row>
    <row r="18" spans="1:7" x14ac:dyDescent="0.25">
      <c r="B18" t="str">
        <v>Max</v>
      </c>
      <c r="C18">
        <v>17</v>
      </c>
      <c r="F18">
        <f>MAX(A2:A6)</f>
        <v>17</v>
      </c>
    </row>
    <row r="19" spans="1:7" x14ac:dyDescent="0.25">
      <c r="A19" t="s">
        <v>14</v>
      </c>
      <c r="B19" cm="1">
        <f t="array" ref="B19">_xll.SCI.CORR(B2:B6,C2:C6)</f>
        <v>1</v>
      </c>
      <c r="F19">
        <f>CORREL(B2:B6,C2:C6)</f>
        <v>0.99999999999999978</v>
      </c>
    </row>
    <row r="20" spans="1:7" x14ac:dyDescent="0.25">
      <c r="A20" t="s">
        <v>15</v>
      </c>
      <c r="B20" t="str" cm="1">
        <f t="array" ref="B20:C23">_xll.SCI.COLSUM(E2:G4)</f>
        <v>Column</v>
      </c>
      <c r="C20" t="str">
        <v>Sum</v>
      </c>
      <c r="F20">
        <f>SUM(E2:G4)</f>
        <v>45</v>
      </c>
    </row>
    <row r="21" spans="1:7" x14ac:dyDescent="0.25">
      <c r="B21" t="str">
        <v>X1</v>
      </c>
      <c r="C21">
        <v>12</v>
      </c>
      <c r="F21">
        <f>SUM(E2:E4)</f>
        <v>12</v>
      </c>
    </row>
    <row r="22" spans="1:7" x14ac:dyDescent="0.25">
      <c r="B22" t="str">
        <v>X2</v>
      </c>
      <c r="C22">
        <v>15</v>
      </c>
      <c r="F22">
        <f>SUM(F2:F4)</f>
        <v>15</v>
      </c>
    </row>
    <row r="23" spans="1:7" x14ac:dyDescent="0.25">
      <c r="B23" t="str">
        <v>X3</v>
      </c>
      <c r="C23">
        <v>18</v>
      </c>
      <c r="F23">
        <f>SUM(G2:G4)</f>
        <v>18</v>
      </c>
    </row>
    <row r="24" spans="1:7" x14ac:dyDescent="0.25">
      <c r="A24" t="s">
        <v>16</v>
      </c>
      <c r="B24" t="str" cm="1">
        <f t="array" ref="B24:B29">_xll.SCI.SCALE(A2:A6,2,TRUE)</f>
        <v>Scaled</v>
      </c>
    </row>
    <row r="25" spans="1:7" x14ac:dyDescent="0.25">
      <c r="B25">
        <v>-12</v>
      </c>
    </row>
    <row r="26" spans="1:7" x14ac:dyDescent="0.25">
      <c r="B26">
        <v>-4</v>
      </c>
    </row>
    <row r="27" spans="1:7" x14ac:dyDescent="0.25">
      <c r="B27">
        <v>-2</v>
      </c>
    </row>
    <row r="28" spans="1:7" x14ac:dyDescent="0.25">
      <c r="B28">
        <v>6</v>
      </c>
    </row>
    <row r="29" spans="1:7" x14ac:dyDescent="0.25">
      <c r="B29">
        <v>12</v>
      </c>
    </row>
    <row r="30" spans="1:7" x14ac:dyDescent="0.25">
      <c r="A30" t="s">
        <v>17</v>
      </c>
      <c r="B30" t="str" cm="1">
        <f t="array" ref="B30:D32">_xll.SCI.OLS(A2:A6,B2:B6)</f>
        <v>Term</v>
      </c>
      <c r="C30" t="str">
        <v>Coef</v>
      </c>
      <c r="D30" t="str">
        <v>StdErr</v>
      </c>
      <c r="F30" cm="1">
        <f t="array" ref="F30:G34">LINEST(A2:A6,B2:B6,,TRUE)</f>
        <v>2.8999999999999995</v>
      </c>
      <c r="G30">
        <v>2.3000000000000007</v>
      </c>
    </row>
    <row r="31" spans="1:7" x14ac:dyDescent="0.25">
      <c r="B31" t="str">
        <v>Intercept</v>
      </c>
      <c r="C31">
        <v>2.3000000000000016</v>
      </c>
      <c r="D31">
        <v>0.83466560170326021</v>
      </c>
      <c r="F31">
        <v>0.25166114784235838</v>
      </c>
      <c r="G31">
        <v>0.8346656017032611</v>
      </c>
    </row>
    <row r="32" spans="1:7" x14ac:dyDescent="0.25">
      <c r="B32" t="str">
        <v>X1</v>
      </c>
      <c r="C32">
        <v>2.9</v>
      </c>
      <c r="D32">
        <v>0.2516611478423581</v>
      </c>
      <c r="F32">
        <v>0.97790697674418603</v>
      </c>
      <c r="G32">
        <v>0.79582242575422169</v>
      </c>
    </row>
    <row r="33" spans="2:8" x14ac:dyDescent="0.25">
      <c r="F33">
        <v>132.78947368421046</v>
      </c>
      <c r="G33">
        <v>3</v>
      </c>
    </row>
    <row r="34" spans="2:8" x14ac:dyDescent="0.25">
      <c r="F34">
        <v>84.1</v>
      </c>
      <c r="G34">
        <v>1.900000000000001</v>
      </c>
    </row>
    <row r="40" spans="2:8" x14ac:dyDescent="0.25">
      <c r="B40" t="s">
        <v>18</v>
      </c>
      <c r="C40" t="s">
        <v>19</v>
      </c>
      <c r="D40" t="s">
        <v>20</v>
      </c>
      <c r="F40">
        <v>1.4499999999999997</v>
      </c>
      <c r="G40">
        <v>0</v>
      </c>
      <c r="H40">
        <v>2.3000000000000007</v>
      </c>
    </row>
    <row r="41" spans="2:8" x14ac:dyDescent="0.25">
      <c r="B41" t="s">
        <v>21</v>
      </c>
      <c r="C41">
        <v>2.3000000000000016</v>
      </c>
      <c r="D41">
        <v>0.83466560170326021</v>
      </c>
      <c r="F41">
        <v>0.12583057392117919</v>
      </c>
      <c r="G41">
        <v>0</v>
      </c>
      <c r="H41">
        <v>0.8346656017032611</v>
      </c>
    </row>
    <row r="42" spans="2:8" x14ac:dyDescent="0.25">
      <c r="B42" t="s">
        <v>22</v>
      </c>
      <c r="C42">
        <v>2.9</v>
      </c>
      <c r="D42">
        <v>0.2516611478423581</v>
      </c>
      <c r="F42">
        <v>0.97790697674418603</v>
      </c>
      <c r="G42">
        <v>0.79582242575422169</v>
      </c>
      <c r="H42" t="e">
        <v>#N/A</v>
      </c>
    </row>
    <row r="43" spans="2:8" x14ac:dyDescent="0.25">
      <c r="F43">
        <v>132.78947368421046</v>
      </c>
      <c r="G43">
        <v>3</v>
      </c>
      <c r="H43" t="e">
        <v>#N/A</v>
      </c>
    </row>
    <row r="44" spans="2:8" x14ac:dyDescent="0.25">
      <c r="F44">
        <v>84.1</v>
      </c>
      <c r="G44">
        <v>1.900000000000001</v>
      </c>
      <c r="H44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D387-52BF-4566-80EF-DEFA2AB1A215}">
  <dimension ref="A1:D36"/>
  <sheetViews>
    <sheetView tabSelected="1" workbookViewId="0">
      <selection activeCell="E5" sqref="E5"/>
    </sheetView>
  </sheetViews>
  <sheetFormatPr defaultRowHeight="15" x14ac:dyDescent="0.25"/>
  <cols>
    <col min="1" max="1" width="20.85546875" bestFit="1" customWidth="1"/>
    <col min="2" max="2" width="11" bestFit="1" customWidth="1"/>
  </cols>
  <sheetData>
    <row r="1" spans="1:4" x14ac:dyDescent="0.25">
      <c r="A1" t="s">
        <v>35</v>
      </c>
    </row>
    <row r="3" spans="1:4" x14ac:dyDescent="0.25">
      <c r="A3" t="s">
        <v>25</v>
      </c>
      <c r="B3" cm="1">
        <f t="array" ref="B3">_xll.SCI.NIL()</f>
        <v>0</v>
      </c>
    </row>
    <row r="4" spans="1:4" x14ac:dyDescent="0.25">
      <c r="A4" t="s">
        <v>26</v>
      </c>
      <c r="B4" t="e" cm="1">
        <f t="array" ref="B4">_xll.SCI.ERROR(36)</f>
        <v>#NUM!</v>
      </c>
    </row>
    <row r="5" spans="1:4" x14ac:dyDescent="0.25">
      <c r="A5" t="s">
        <v>27</v>
      </c>
      <c r="B5" cm="1">
        <f t="array" ref="B5">_xll.SCI.TOINT(3.9)</f>
        <v>3</v>
      </c>
    </row>
    <row r="6" spans="1:4" x14ac:dyDescent="0.25">
      <c r="A6" t="s">
        <v>28</v>
      </c>
      <c r="B6" cm="1">
        <f t="array" ref="B6">_xll.SCI.TOINT(-3.9)</f>
        <v>-3</v>
      </c>
    </row>
    <row r="7" spans="1:4" x14ac:dyDescent="0.25">
      <c r="A7" t="s">
        <v>29</v>
      </c>
      <c r="B7" t="b" cm="1">
        <f t="array" ref="B7">_xll.SCI.THRESH(5,5,FALSE)</f>
        <v>1</v>
      </c>
    </row>
    <row r="8" spans="1:4" x14ac:dyDescent="0.25">
      <c r="A8" t="s">
        <v>30</v>
      </c>
      <c r="B8" t="b" cm="1">
        <f t="array" ref="B8">_xll.SCI.THRESH(5,5,TRUE)</f>
        <v>0</v>
      </c>
    </row>
    <row r="9" spans="1:4" x14ac:dyDescent="0.25">
      <c r="A9" t="s">
        <v>31</v>
      </c>
      <c r="B9" t="str" cm="1">
        <f t="array" ref="B9:D23">_xll.SCI.TYPES()</f>
        <v>Type</v>
      </c>
      <c r="C9" t="str">
        <v>Value</v>
      </c>
      <c r="D9" t="str">
        <v>xltype</v>
      </c>
    </row>
    <row r="10" spans="1:4" x14ac:dyDescent="0.25">
      <c r="B10" t="str">
        <v>String</v>
      </c>
      <c r="C10" t="str">
        <v>alpha</v>
      </c>
      <c r="D10" t="str">
        <v>0x0002</v>
      </c>
    </row>
    <row r="11" spans="1:4" x14ac:dyDescent="0.25">
      <c r="B11" t="str">
        <v>Num (f64)</v>
      </c>
      <c r="C11">
        <v>3.1415899999999999</v>
      </c>
      <c r="D11" t="str">
        <v>0x0001</v>
      </c>
    </row>
    <row r="12" spans="1:4" x14ac:dyDescent="0.25">
      <c r="B12" t="str">
        <v>Int (i32)</v>
      </c>
      <c r="C12">
        <v>42</v>
      </c>
      <c r="D12" t="str">
        <v>0x0800</v>
      </c>
    </row>
    <row r="13" spans="1:4" x14ac:dyDescent="0.25">
      <c r="B13" t="str">
        <v>Bool (TRUE)</v>
      </c>
      <c r="C13" t="b">
        <v>1</v>
      </c>
      <c r="D13" t="str">
        <v>0x0004</v>
      </c>
    </row>
    <row r="14" spans="1:4" x14ac:dyDescent="0.25">
      <c r="B14" t="str">
        <v>Bool (FALSE)</v>
      </c>
      <c r="C14" t="b">
        <v>0</v>
      </c>
      <c r="D14" t="str">
        <v>0x0004</v>
      </c>
    </row>
    <row r="15" spans="1:4" x14ac:dyDescent="0.25">
      <c r="B15" t="str">
        <v>Err #NULL!</v>
      </c>
      <c r="C15" t="e">
        <v>#NULL!</v>
      </c>
      <c r="D15" t="str">
        <v>0x0010</v>
      </c>
    </row>
    <row r="16" spans="1:4" x14ac:dyDescent="0.25">
      <c r="B16" t="str">
        <v>Err #DIV/0!</v>
      </c>
      <c r="C16" t="e">
        <v>#DIV/0!</v>
      </c>
      <c r="D16" t="str">
        <v>0x0010</v>
      </c>
    </row>
    <row r="17" spans="1:4" x14ac:dyDescent="0.25">
      <c r="B17" t="str">
        <v>Err #VALUE!</v>
      </c>
      <c r="C17" t="e">
        <v>#VALUE!</v>
      </c>
      <c r="D17" t="str">
        <v>0x0010</v>
      </c>
    </row>
    <row r="18" spans="1:4" x14ac:dyDescent="0.25">
      <c r="B18" t="str">
        <v>Err #REF!</v>
      </c>
      <c r="C18" t="e">
        <v>#REF!</v>
      </c>
      <c r="D18" t="str">
        <v>0x0010</v>
      </c>
    </row>
    <row r="19" spans="1:4" x14ac:dyDescent="0.25">
      <c r="B19" t="str">
        <v>Err #NAME?</v>
      </c>
      <c r="C19" t="e">
        <v>#NAME?</v>
      </c>
      <c r="D19" t="str">
        <v>0x0010</v>
      </c>
    </row>
    <row r="20" spans="1:4" x14ac:dyDescent="0.25">
      <c r="B20" t="str">
        <v>Err #NUM!</v>
      </c>
      <c r="C20" t="e">
        <v>#NUM!</v>
      </c>
      <c r="D20" t="str">
        <v>0x0010</v>
      </c>
    </row>
    <row r="21" spans="1:4" x14ac:dyDescent="0.25">
      <c r="B21" t="str">
        <v>Err #N/A</v>
      </c>
      <c r="C21" t="e">
        <v>#N/A</v>
      </c>
      <c r="D21" t="str">
        <v>0x0010</v>
      </c>
    </row>
    <row r="22" spans="1:4" x14ac:dyDescent="0.25">
      <c r="B22" t="str">
        <v>Nil</v>
      </c>
      <c r="C22">
        <v>0</v>
      </c>
      <c r="D22" t="str">
        <v>0x0100</v>
      </c>
    </row>
    <row r="23" spans="1:4" x14ac:dyDescent="0.25">
      <c r="B23" t="str">
        <v>Missing</v>
      </c>
      <c r="C23">
        <v>0</v>
      </c>
      <c r="D23" t="str">
        <v>0x0080</v>
      </c>
    </row>
    <row r="24" spans="1:4" x14ac:dyDescent="0.25">
      <c r="A24" t="s">
        <v>32</v>
      </c>
      <c r="B24" t="str" cm="1">
        <f t="array" ref="B24:C25">_xll.SCI.DIMS(Basic!E2:G4)</f>
        <v>Rows</v>
      </c>
      <c r="C24">
        <v>3</v>
      </c>
    </row>
    <row r="25" spans="1:4" x14ac:dyDescent="0.25">
      <c r="B25" t="str">
        <v>Cols</v>
      </c>
      <c r="C25">
        <v>3</v>
      </c>
    </row>
    <row r="26" spans="1:4" x14ac:dyDescent="0.25">
      <c r="A26" t="s">
        <v>33</v>
      </c>
      <c r="B26" t="str" cm="1">
        <f t="array" aca="1" ref="B26:C30" ca="1">_xll.SCI.REFINFO(Basic!A2:B4)</f>
        <v>Type</v>
      </c>
      <c r="C26" t="str">
        <f ca="1"/>
        <v>REF</v>
      </c>
    </row>
    <row r="27" spans="1:4" x14ac:dyDescent="0.25">
      <c r="B27" t="str">
        <f ca="1"/>
        <v>Sheet</v>
      </c>
      <c r="C27" t="str">
        <f ca="1"/>
        <v>[SCI_Workflow_Example.xlsx]Basic</v>
      </c>
    </row>
    <row r="28" spans="1:4" x14ac:dyDescent="0.25">
      <c r="B28" t="str">
        <f ca="1"/>
        <v>SheetId</v>
      </c>
      <c r="C28">
        <f ca="1"/>
        <v>2415258236224</v>
      </c>
    </row>
    <row r="29" spans="1:4" x14ac:dyDescent="0.25">
      <c r="B29" t="str">
        <f ca="1"/>
        <v>Areas</v>
      </c>
      <c r="C29">
        <f ca="1"/>
        <v>1</v>
      </c>
    </row>
    <row r="30" spans="1:4" x14ac:dyDescent="0.25">
      <c r="B30" t="str">
        <f ca="1"/>
        <v>Area 1</v>
      </c>
      <c r="C30" t="str">
        <f ca="1"/>
        <v>R2C1:R4C2</v>
      </c>
    </row>
    <row r="32" spans="1:4" x14ac:dyDescent="0.25">
      <c r="A32" t="s">
        <v>34</v>
      </c>
      <c r="B32" cm="1">
        <f t="array" aca="1" ref="B32:D36" ca="1">_xll.SCI.REFVALUES(Basic!A2:C6)</f>
        <v>5</v>
      </c>
      <c r="C32">
        <f ca="1"/>
        <v>1</v>
      </c>
      <c r="D32">
        <f ca="1"/>
        <v>2</v>
      </c>
    </row>
    <row r="33" spans="2:4" x14ac:dyDescent="0.25">
      <c r="B33">
        <f ca="1"/>
        <v>9</v>
      </c>
      <c r="C33">
        <f ca="1"/>
        <v>2</v>
      </c>
      <c r="D33">
        <f ca="1"/>
        <v>4</v>
      </c>
    </row>
    <row r="34" spans="2:4" x14ac:dyDescent="0.25">
      <c r="B34">
        <f ca="1"/>
        <v>10</v>
      </c>
      <c r="C34">
        <f ca="1"/>
        <v>3</v>
      </c>
      <c r="D34">
        <f ca="1"/>
        <v>6</v>
      </c>
    </row>
    <row r="35" spans="2:4" x14ac:dyDescent="0.25">
      <c r="B35">
        <f ca="1"/>
        <v>14</v>
      </c>
      <c r="C35">
        <f ca="1"/>
        <v>4</v>
      </c>
      <c r="D35">
        <f ca="1"/>
        <v>8</v>
      </c>
    </row>
    <row r="36" spans="2:4" x14ac:dyDescent="0.25">
      <c r="B36">
        <f ca="1"/>
        <v>17</v>
      </c>
      <c r="C36">
        <f ca="1"/>
        <v>5</v>
      </c>
      <c r="D36">
        <f ca="1"/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Adv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Jesse</dc:creator>
  <cp:lastModifiedBy>Anderson, Jesse</cp:lastModifiedBy>
  <dcterms:created xsi:type="dcterms:W3CDTF">2026-02-26T01:56:25Z</dcterms:created>
  <dcterms:modified xsi:type="dcterms:W3CDTF">2026-02-26T16:29:51Z</dcterms:modified>
</cp:coreProperties>
</file>